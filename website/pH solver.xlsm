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w24.CORNELL\Google Drive\4530\Archive\Class materials 2016\"/>
    </mc:Choice>
  </mc:AlternateContent>
  <bookViews>
    <workbookView xWindow="390" yWindow="105" windowWidth="14625" windowHeight="9000"/>
  </bookViews>
  <sheets>
    <sheet name="Slide 18" sheetId="1" r:id="rId1"/>
  </sheets>
  <definedNames>
    <definedName name="a_0" localSheetId="0">'Slide 18'!$B$10</definedName>
    <definedName name="a_1">'Slide 18'!$B$11</definedName>
    <definedName name="a_2">'Slide 18'!$B$12</definedName>
    <definedName name="K_1" localSheetId="0">'Slide 18'!$B$2</definedName>
    <definedName name="K_1">#REF!</definedName>
    <definedName name="K_2" localSheetId="0">'Slide 18'!$B$3</definedName>
    <definedName name="K_2">#REF!</definedName>
    <definedName name="KH" localSheetId="0">'Slide 18'!$B$4</definedName>
    <definedName name="KH">#REF!</definedName>
    <definedName name="Kw" localSheetId="0">'Slide 18'!$B$6</definedName>
    <definedName name="Kw">#REF!</definedName>
    <definedName name="P_co2" localSheetId="0">'Slide 18'!$B$5</definedName>
    <definedName name="P_co2">#REF!</definedName>
    <definedName name="pH" localSheetId="0">'Slide 18'!$B$9</definedName>
    <definedName name="solver_adj" localSheetId="0" hidden="1">'Slide 18'!$B$9</definedName>
    <definedName name="solver_cvg" localSheetId="0" hidden="1">0.00000000001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'Slide 18'!$B$16</definedName>
    <definedName name="solver_pre" localSheetId="0" hidden="1">0.00000000000001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0.006</definedName>
    <definedName name="solver_ver" localSheetId="0" hidden="1">3</definedName>
  </definedNames>
  <calcPr calcId="162913"/>
</workbook>
</file>

<file path=xl/calcChain.xml><?xml version="1.0" encoding="utf-8"?>
<calcChain xmlns="http://schemas.openxmlformats.org/spreadsheetml/2006/main">
  <c r="B14" i="1" l="1"/>
  <c r="B6" i="1" l="1"/>
  <c r="B5" i="1"/>
  <c r="B4" i="1"/>
  <c r="B3" i="1"/>
  <c r="B2" i="1"/>
  <c r="B11" i="1" l="1"/>
  <c r="B16" i="1" s="1"/>
  <c r="B12" i="1"/>
  <c r="B10" i="1"/>
</calcChain>
</file>

<file path=xl/sharedStrings.xml><?xml version="1.0" encoding="utf-8"?>
<sst xmlns="http://schemas.openxmlformats.org/spreadsheetml/2006/main" count="15" uniqueCount="15">
  <si>
    <t>K1 =</t>
  </si>
  <si>
    <t>K2 =</t>
  </si>
  <si>
    <t>KH =</t>
  </si>
  <si>
    <t>Pco2 =</t>
  </si>
  <si>
    <t>Kw =</t>
  </si>
  <si>
    <t>atm</t>
  </si>
  <si>
    <t>mol/atm L</t>
  </si>
  <si>
    <t>a0 =</t>
  </si>
  <si>
    <t>a1 =</t>
  </si>
  <si>
    <t>a2 =</t>
  </si>
  <si>
    <t>ANC =</t>
  </si>
  <si>
    <t>pH</t>
  </si>
  <si>
    <t>Lecture example - volatile system</t>
  </si>
  <si>
    <t>eq/L</t>
  </si>
  <si>
    <t>ANC (given)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</si>
</sst>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"/>
  </numFmts>
  <fonts count="2" x14ac:knownFonts="1">
    <font>
      <sz val="11"/>
      <color theme="1"/>
      <name val="Arial"/>
      <family val="2"/>
      <scheme val="minor"/>
    </font>
    <font>
      <sz val="10"/>
      <color theme="1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0" borderId="0" xfId="0" applyFont="1" applyFill="1"/>
    <xf numFmtId="11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165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8707</xdr:colOff>
      <xdr:row>12</xdr:row>
      <xdr:rowOff>30480</xdr:rowOff>
    </xdr:from>
    <xdr:ext cx="2890728" cy="4721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2608216" y="2068286"/>
              <a:ext cx="2890728" cy="472117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𝐴𝑁𝐶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𝐶𝑂</m:t>
                                </m:r>
                              </m:e>
                              <m:sub>
                                <m: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</m:sub>
                        </m:sSub>
                        <m: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∗</m:t>
                        </m:r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𝛼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</m:den>
                    </m:f>
                    <m:d>
                      <m:d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𝛼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+2</m:t>
                        </m:r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𝛼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𝑤</m:t>
                            </m:r>
                          </m:sub>
                        </m:sSub>
                      </m:num>
                      <m:den>
                        <m:d>
                          <m:dPr>
                            <m:begChr m:val="["/>
                            <m:endChr m:val="]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</m:t>
                                </m:r>
                              </m:e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</m:t>
                                </m:r>
                              </m:sup>
                            </m:sSup>
                          </m:e>
                        </m:d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 </m:t>
                    </m:r>
                    <m:d>
                      <m:dPr>
                        <m:begChr m:val="["/>
                        <m:endChr m:val="]"/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</m:sup>
                        </m:sSup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2608216" y="2068286"/>
              <a:ext cx="2890728" cy="472117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𝐴𝑁𝐶=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(𝑃_(〖𝐶𝑂〗_2 )∗𝐾_𝐻)/𝛼_0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(𝛼_1+2𝛼_2 )+𝐾_𝑤/[𝐻^+ ] − [𝐻^+ ]</a:t>
              </a:r>
              <a:endParaRPr lang="en-US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Eawag">
  <a:themeElements>
    <a:clrScheme name="Eawag_blau">
      <a:dk1>
        <a:srgbClr val="323232"/>
      </a:dk1>
      <a:lt1>
        <a:srgbClr val="FFFFFF"/>
      </a:lt1>
      <a:dk2>
        <a:srgbClr val="323232"/>
      </a:dk2>
      <a:lt2>
        <a:srgbClr val="AEDFF4"/>
      </a:lt2>
      <a:accent1>
        <a:srgbClr val="AEDFF4"/>
      </a:accent1>
      <a:accent2>
        <a:srgbClr val="00ADDD"/>
      </a:accent2>
      <a:accent3>
        <a:srgbClr val="FFFFFF"/>
      </a:accent3>
      <a:accent4>
        <a:srgbClr val="292929"/>
      </a:accent4>
      <a:accent5>
        <a:srgbClr val="D3ECF8"/>
      </a:accent5>
      <a:accent6>
        <a:srgbClr val="009CC8"/>
      </a:accent6>
      <a:hlink>
        <a:srgbClr val="005572"/>
      </a:hlink>
      <a:folHlink>
        <a:srgbClr val="AEDFF4"/>
      </a:folHlink>
    </a:clrScheme>
    <a:fontScheme name="Eawag_blau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6"/>
  <sheetViews>
    <sheetView tabSelected="1" zoomScale="175" zoomScaleNormal="175" workbookViewId="0">
      <selection activeCell="D25" sqref="D25"/>
    </sheetView>
  </sheetViews>
  <sheetFormatPr defaultColWidth="11.25" defaultRowHeight="12.75" x14ac:dyDescent="0.2"/>
  <cols>
    <col min="1" max="1" width="11.25" style="2"/>
    <col min="2" max="2" width="11.75" style="2" bestFit="1" customWidth="1"/>
    <col min="3" max="4" width="11.25" style="2"/>
    <col min="5" max="16384" width="11.25" style="1"/>
  </cols>
  <sheetData>
    <row r="1" spans="1:3" x14ac:dyDescent="0.2">
      <c r="A1" s="7" t="s">
        <v>12</v>
      </c>
      <c r="B1" s="7"/>
      <c r="C1" s="7"/>
    </row>
    <row r="2" spans="1:3" x14ac:dyDescent="0.2">
      <c r="A2" s="2" t="s">
        <v>0</v>
      </c>
      <c r="B2" s="3">
        <f>10^-6.3</f>
        <v>5.0118723362727218E-7</v>
      </c>
    </row>
    <row r="3" spans="1:3" x14ac:dyDescent="0.2">
      <c r="A3" s="2" t="s">
        <v>1</v>
      </c>
      <c r="B3" s="3">
        <f>10^-10.3</f>
        <v>5.0118723362726993E-11</v>
      </c>
    </row>
    <row r="4" spans="1:3" x14ac:dyDescent="0.2">
      <c r="A4" s="2" t="s">
        <v>2</v>
      </c>
      <c r="B4" s="3">
        <f>10^-1.5</f>
        <v>3.1622776601683784E-2</v>
      </c>
      <c r="C4" s="2" t="s">
        <v>6</v>
      </c>
    </row>
    <row r="5" spans="1:3" x14ac:dyDescent="0.2">
      <c r="A5" s="2" t="s">
        <v>3</v>
      </c>
      <c r="B5" s="3">
        <f>10^-3.5</f>
        <v>3.1622776601683783E-4</v>
      </c>
      <c r="C5" s="2" t="s">
        <v>5</v>
      </c>
    </row>
    <row r="6" spans="1:3" x14ac:dyDescent="0.2">
      <c r="A6" s="2" t="s">
        <v>4</v>
      </c>
      <c r="B6" s="3">
        <f>10^-14</f>
        <v>1E-14</v>
      </c>
    </row>
    <row r="9" spans="1:3" x14ac:dyDescent="0.2">
      <c r="A9" s="2" t="s">
        <v>11</v>
      </c>
      <c r="B9" s="6">
        <v>11.78</v>
      </c>
    </row>
    <row r="10" spans="1:3" x14ac:dyDescent="0.2">
      <c r="A10" s="2" t="s">
        <v>7</v>
      </c>
      <c r="B10" s="5">
        <f>1/(1+K_1/(10^(-1*pH))+(K_1*K_2)/((10^(-1*pH))^2))</f>
        <v>1.0613340077450063E-7</v>
      </c>
    </row>
    <row r="11" spans="1:3" x14ac:dyDescent="0.2">
      <c r="A11" s="2" t="s">
        <v>8</v>
      </c>
      <c r="B11" s="5">
        <f>1/((10^(-1*pH))/K_1+1+K_2/(10^(-1*pH)))</f>
        <v>3.2051774626107012E-2</v>
      </c>
    </row>
    <row r="12" spans="1:3" x14ac:dyDescent="0.2">
      <c r="A12" s="2" t="s">
        <v>9</v>
      </c>
      <c r="B12" s="5">
        <f>1/(((10^(-1*pH))^2)/(K_1*K_2)+(10^(-1*pH))/K_2+1)</f>
        <v>0.96794811924049229</v>
      </c>
    </row>
    <row r="14" spans="1:3" x14ac:dyDescent="0.2">
      <c r="A14" s="2" t="s">
        <v>14</v>
      </c>
      <c r="B14" s="4">
        <f>0.006</f>
        <v>6.0000000000000001E-3</v>
      </c>
      <c r="C14" s="2" t="s">
        <v>13</v>
      </c>
    </row>
    <row r="15" spans="1:3" x14ac:dyDescent="0.2">
      <c r="B15" s="4"/>
    </row>
    <row r="16" spans="1:3" x14ac:dyDescent="0.2">
      <c r="A16" s="2" t="s">
        <v>10</v>
      </c>
      <c r="B16" s="4">
        <f>(P_co2*KH/a_0)*(a_1+2*a_2)+Kw/(10^(-1*pH))-(10^(-1*pH))</f>
        <v>185.42814518744248</v>
      </c>
    </row>
  </sheetData>
  <mergeCells count="1">
    <mergeCell ref="A1:C1"/>
  </mergeCells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0" baseType="lpstr">
      <vt:lpstr>Slide 18</vt:lpstr>
      <vt:lpstr>'Slide 18'!a_0</vt:lpstr>
      <vt:lpstr>a_1</vt:lpstr>
      <vt:lpstr>a_2</vt:lpstr>
      <vt:lpstr>'Slide 18'!K_1</vt:lpstr>
      <vt:lpstr>'Slide 18'!K_2</vt:lpstr>
      <vt:lpstr>'Slide 18'!KH</vt:lpstr>
      <vt:lpstr>'Slide 18'!Kw</vt:lpstr>
      <vt:lpstr>'Slide 18'!P_co2</vt:lpstr>
      <vt:lpstr>'Slide 18'!pH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Helbling, Damian</dc:creator>
  <cp:lastModifiedBy>Monroe Weber-Shirk</cp:lastModifiedBy>
  <dcterms:created xsi:type="dcterms:W3CDTF">2011-04-04T18:10:52Z</dcterms:created>
  <dcterms:modified xsi:type="dcterms:W3CDTF">2017-12-22T18:02:03Z</dcterms:modified>
</cp:coreProperties>
</file>